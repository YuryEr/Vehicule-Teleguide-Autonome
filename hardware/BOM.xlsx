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etsmtl365-my.sharepoint.com/personal/serby-brian_barthelemy_1_ens_etsmtl_ca/Documents/ETE26_PFE/Prototypage/"/>
    </mc:Choice>
  </mc:AlternateContent>
  <xr:revisionPtr revIDLastSave="321" documentId="11_AD4D9D64A577C15A4A541881D81E43925ADEDD80" xr6:coauthVersionLast="47" xr6:coauthVersionMax="47" xr10:uidLastSave="{61E46288-AD2A-4A9F-835B-54349477A53B}"/>
  <bookViews>
    <workbookView xWindow="11424" yWindow="0" windowWidth="11712" windowHeight="13776" xr2:uid="{00000000-000D-0000-FFFF-FFFF00000000}"/>
  </bookViews>
  <sheets>
    <sheet name="BOM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24" i="1"/>
  <c r="E25" i="1"/>
  <c r="F25" i="1" s="1"/>
  <c r="F21" i="1"/>
  <c r="F17" i="1"/>
  <c r="F16" i="1"/>
  <c r="F14" i="1"/>
  <c r="F12" i="1"/>
  <c r="F5" i="1"/>
  <c r="F6" i="1"/>
  <c r="F7" i="1"/>
  <c r="F4" i="1"/>
  <c r="F8" i="1"/>
  <c r="F22" i="1"/>
  <c r="F13" i="1"/>
  <c r="F20" i="1"/>
  <c r="F15" i="1"/>
  <c r="F18" i="1" l="1"/>
  <c r="F9" i="1"/>
  <c r="F10" i="1"/>
  <c r="F19" i="1"/>
  <c r="F26" i="1" s="1"/>
</calcChain>
</file>

<file path=xl/sharedStrings.xml><?xml version="1.0" encoding="utf-8"?>
<sst xmlns="http://schemas.openxmlformats.org/spreadsheetml/2006/main" count="124" uniqueCount="82">
  <si>
    <t>Liste de matériel</t>
  </si>
  <si>
    <t>Composante</t>
  </si>
  <si>
    <t>Modèle</t>
  </si>
  <si>
    <t>Fonction</t>
  </si>
  <si>
    <t>QTY</t>
  </si>
  <si>
    <t>Coût</t>
  </si>
  <si>
    <t>Coût total</t>
  </si>
  <si>
    <t>Lien</t>
  </si>
  <si>
    <t>Provenance</t>
  </si>
  <si>
    <t>Commentaire</t>
  </si>
  <si>
    <t>Bouton Poussoir</t>
  </si>
  <si>
    <t>PBS-LED-1624WH-L</t>
  </si>
  <si>
    <t>Allumer</t>
  </si>
  <si>
    <t>abra-electronics</t>
  </si>
  <si>
    <t>Acheté</t>
  </si>
  <si>
    <t>Câble QWIIC</t>
  </si>
  <si>
    <t>STEMMA QT QWIIC JST SH CABLE 150</t>
  </si>
  <si>
    <t>Transmission</t>
  </si>
  <si>
    <t>digikey</t>
  </si>
  <si>
    <t>JST SH 4-PIN CABLE - QWIIC COMPA</t>
  </si>
  <si>
    <t>JST SH 4-PIN TO PREMIUM MALE HEA</t>
  </si>
  <si>
    <t>Câble USB-C</t>
  </si>
  <si>
    <t>CAB-309PR</t>
  </si>
  <si>
    <t>Caméra</t>
  </si>
  <si>
    <t>Logitech C270</t>
  </si>
  <si>
    <t>Vision</t>
  </si>
  <si>
    <t>walmart</t>
  </si>
  <si>
    <t>Capteur ultason</t>
  </si>
  <si>
    <t>HC-SR04</t>
  </si>
  <si>
    <t>Détection</t>
  </si>
  <si>
    <t>Membre de l'équipe</t>
  </si>
  <si>
    <t>Chassis</t>
  </si>
  <si>
    <t>Hiwonder Full-Metal Tank Robot</t>
  </si>
  <si>
    <t>Mobilité</t>
  </si>
  <si>
    <t>hiwonder</t>
  </si>
  <si>
    <t>Vient avec les moteurs encodeurs, la carte de contrôle, la batterie et le chargeur</t>
  </si>
  <si>
    <t>Concentrateur QWIIC</t>
  </si>
  <si>
    <t xml:space="preserve">	STEMMA QT 5 PORT PASSIVE HUB</t>
  </si>
  <si>
    <t>DC-DC Step down</t>
  </si>
  <si>
    <t>PSM-305 DC-DC 7V-28V à 5V 3A</t>
  </si>
  <si>
    <t>Alimenter</t>
  </si>
  <si>
    <t>Écran LCD</t>
  </si>
  <si>
    <t>ARD-LCD-2.4 Ecran LCD TFT 2,4” pour Arduino UNO / MEGA</t>
  </si>
  <si>
    <t>Afficher</t>
  </si>
  <si>
    <t>Département génie électrique - ÉTS</t>
  </si>
  <si>
    <t>Fusible</t>
  </si>
  <si>
    <t>GMA/3A Fusible 3A/ Action Rapide</t>
  </si>
  <si>
    <t>Protéger</t>
  </si>
  <si>
    <t>Gyroscope</t>
  </si>
  <si>
    <t>6 DOF SENSOR - MPU6050</t>
  </si>
  <si>
    <t>Positionner</t>
  </si>
  <si>
    <t>LED</t>
  </si>
  <si>
    <t>LED-STRIP-13-1M</t>
  </si>
  <si>
    <t>Éclairer</t>
  </si>
  <si>
    <t>abra-electronics.com</t>
  </si>
  <si>
    <t>LIDAR</t>
  </si>
  <si>
    <t>Capteur de Distance LIDAR 8m TF-Luna</t>
  </si>
  <si>
    <t>robotshop</t>
  </si>
  <si>
    <t>Microcontrôleur</t>
  </si>
  <si>
    <t>ARDUINO UNO Q 2GB RAM 16GB EMMC</t>
  </si>
  <si>
    <t>Traitement de données</t>
  </si>
  <si>
    <t>Hausse de prix 07/26</t>
  </si>
  <si>
    <t>Porte Fusible</t>
  </si>
  <si>
    <t>FH501</t>
  </si>
  <si>
    <t>Servo moteur</t>
  </si>
  <si>
    <t>GK-SERVO-9G geeekus Servomoteur analogique 180 degrés 9G</t>
  </si>
  <si>
    <t>Déplacer</t>
  </si>
  <si>
    <t>USB 2.0 Breakout Board</t>
  </si>
  <si>
    <t>BB-USB Platine à déploiement USB 2.0 femelle</t>
  </si>
  <si>
    <t>Câble Dupont</t>
  </si>
  <si>
    <t>Câbles de pontage</t>
  </si>
  <si>
    <t>Connecter</t>
  </si>
  <si>
    <t>PCB</t>
  </si>
  <si>
    <t>Conduction</t>
  </si>
  <si>
    <t>jlcpcb</t>
  </si>
  <si>
    <t>Fait par le département de génie élé, estimation de l'équivalence</t>
  </si>
  <si>
    <t>Coque</t>
  </si>
  <si>
    <t>Impression 3D en PLA</t>
  </si>
  <si>
    <t>Structure</t>
  </si>
  <si>
    <t>bambulab</t>
  </si>
  <si>
    <t>Total</t>
  </si>
  <si>
    <t>*Ne comprends pas les frais de douane et d'expédition. Prix en 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</si>
</sst>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2" fontId="0" fillId="0" borderId="0" xfId="0" applyNumberFormat="1"/>
    <xf numFmtId="0" fontId="0" fillId="0" borderId="0" xfId="0" applyAlignment="1">
      <alignment wrapText="1"/>
    </xf>
    <xf numFmtId="0" fontId="3" fillId="0" borderId="0" xfId="1" applyFont="1" applyFill="1"/>
    <xf numFmtId="0" fontId="1" fillId="0" borderId="0" xfId="1" applyFill="1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Lien hypertexte" xfId="1" builtinId="8"/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F81AC7-4674-4F01-A1E9-540F04BE28B4}" name="Tableau1" displayName="Tableau1" ref="A3:I26" totalsRowCount="1">
  <autoFilter ref="A3:I25" xr:uid="{03F81AC7-4674-4F01-A1E9-540F04BE28B4}"/>
  <sortState xmlns:xlrd2="http://schemas.microsoft.com/office/spreadsheetml/2017/richdata2" ref="A4:I22">
    <sortCondition ref="A3:A22"/>
  </sortState>
  <tableColumns count="9">
    <tableColumn id="1" xr3:uid="{BFC33151-DBEF-4F54-B4DC-C616FB5D0283}" name="Composante" totalsRowLabel="Total"/>
    <tableColumn id="2" xr3:uid="{05FC6A3E-A94E-4A85-8E5E-766D655C05DF}" name="Modèle"/>
    <tableColumn id="3" xr3:uid="{4AE53193-534A-4B6C-B743-C2A6DA61BFC7}" name="Fonction"/>
    <tableColumn id="4" xr3:uid="{C253353C-6CD9-4393-88E8-A5F462AE1344}" name="QTY"/>
    <tableColumn id="5" xr3:uid="{5CCC7609-0443-4580-8CDF-FCA994C7845F}" name="Coût"/>
    <tableColumn id="6" xr3:uid="{587ED363-0E3E-4B00-BF51-E0D58E0F682F}" name="Coût total" totalsRowFunction="sum" totalsRowDxfId="0"/>
    <tableColumn id="7" xr3:uid="{FAB8D6C2-F9C8-4F7D-B7B5-61361B6FF282}" name="Lien"/>
    <tableColumn id="9" xr3:uid="{F1F4E175-91F0-4EE7-84B9-A586D5078454}" name="Provenance" dataCellStyle="Lien hypertexte"/>
    <tableColumn id="8" xr3:uid="{9EB1389F-F84F-467A-9A20-9BF267B26980}" name="Commen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a/fr/products/detail/adafruit-industries-llc/4210/10230021" TargetMode="External"/><Relationship Id="rId13" Type="http://schemas.openxmlformats.org/officeDocument/2006/relationships/hyperlink" Target="https://abra-electronics.com/wire-cable-accessories/wirecable/usb-adapters-cables-hubs-other-en/usb-to-multi-types/right-angle-male-usb-type-c-4-wire-cable.html" TargetMode="External"/><Relationship Id="rId18" Type="http://schemas.openxmlformats.org/officeDocument/2006/relationships/hyperlink" Target="https://abra-electronics.com/opto-illumination/led-strips/5v-addressable/led-strip-13-1m-rgb-60-5050-leds-1-meter-strip-ws2812-individually-addressable-3-pin-dupont-connector.html" TargetMode="External"/><Relationship Id="rId3" Type="http://schemas.openxmlformats.org/officeDocument/2006/relationships/hyperlink" Target="https://www.digikey.ca/en/products/detail/olimex-ltd/SNS-HCSR04/21662590" TargetMode="External"/><Relationship Id="rId21" Type="http://schemas.openxmlformats.org/officeDocument/2006/relationships/hyperlink" Target="https://cart.jlcpcb.com/quote?spm=jlcpcb.Public.2006" TargetMode="External"/><Relationship Id="rId7" Type="http://schemas.openxmlformats.org/officeDocument/2006/relationships/hyperlink" Target="https://www.digikey.ca/fr/products/detail/adafruit-industries-llc/4397/10824270" TargetMode="External"/><Relationship Id="rId12" Type="http://schemas.openxmlformats.org/officeDocument/2006/relationships/hyperlink" Target="https://abra-electronics.com/electromechanical/switches/pushbutton-switches-led/latching/pbs-led-1624wh-l.html" TargetMode="External"/><Relationship Id="rId17" Type="http://schemas.openxmlformats.org/officeDocument/2006/relationships/hyperlink" Target="https://abra-electronics.com/electromechanical/circuit-protection/fuses/gma-fast-blow-20mm-x-5mm-european-fuses/gma-3a-mini-fast-blow-3-amp-fuse-20mm-x-5mm-gma-3a.html" TargetMode="External"/><Relationship Id="rId2" Type="http://schemas.openxmlformats.org/officeDocument/2006/relationships/hyperlink" Target="https://www.digikey.ca/en/products/detail/arduino/ABX00162/27526619" TargetMode="External"/><Relationship Id="rId16" Type="http://schemas.openxmlformats.org/officeDocument/2006/relationships/hyperlink" Target="https://abra-electronics.com/electromechanical/circuit-protection/fuseholders/fuse-block-fh501.html" TargetMode="External"/><Relationship Id="rId20" Type="http://schemas.openxmlformats.org/officeDocument/2006/relationships/hyperlink" Target="https://ca.store.bambulab.com/fr/products/pla-basic-filament?id=43766892298480" TargetMode="External"/><Relationship Id="rId1" Type="http://schemas.openxmlformats.org/officeDocument/2006/relationships/hyperlink" Target="https://www.hiwonder.com/products/suspended-shock-absorbing-tracked-chassis?variant=40410257162327&amp;_pos=2&amp;_sid=b71b56d4d&amp;_ss=r" TargetMode="External"/><Relationship Id="rId6" Type="http://schemas.openxmlformats.org/officeDocument/2006/relationships/hyperlink" Target="https://www.digikey.ca/fr/products/detail/adafruit-industries-llc/5625/16819801?s=N4IgTCBcDaIMoBUCiBZFBBABARQZgrJgAoDyASnkenHAJIBqSmAEgKoBCIAugL5A" TargetMode="External"/><Relationship Id="rId11" Type="http://schemas.openxmlformats.org/officeDocument/2006/relationships/hyperlink" Target="https://www.digikey.ca/fr/products/detail/dfrobot/SEN0142/6588492?s=N4IgTCBcDaIMoFEByAGAjAFggXQL5A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ca.robotshop.com/fr/products/capteur-distance-lidar-8m-tf-luna" TargetMode="External"/><Relationship Id="rId15" Type="http://schemas.openxmlformats.org/officeDocument/2006/relationships/hyperlink" Target="https://abra-electronics.com/voltage-regulator-modules/dc-dc-step-down-converters/psm-305-dc-dc-7v-28v-to-5v-3a-fixed-step-down-converter-module.html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abra-electronics.com/opto-illumination/lcds-and-displays/graphic-tft/ard-lcd-2.4-2.4-lcd-tft-display-for-arduino-uno-mega.html" TargetMode="External"/><Relationship Id="rId19" Type="http://schemas.openxmlformats.org/officeDocument/2006/relationships/hyperlink" Target="https://abra-electronics.com/electromechanical/motors/servo-motors/gk-servo-9g-180-geeekus-180-degrees-analog-servo-motor-9g.html" TargetMode="External"/><Relationship Id="rId4" Type="http://schemas.openxmlformats.org/officeDocument/2006/relationships/hyperlink" Target="https://www.walmart.ca/en/ip/Logitech-C270-HD-Webcam-with-noise-reducing-mics-for-video-calls/6000196155058" TargetMode="External"/><Relationship Id="rId9" Type="http://schemas.openxmlformats.org/officeDocument/2006/relationships/hyperlink" Target="https://www.digikey.ca/fr/products/detail/adafruit-industries-llc/4209/10230003" TargetMode="External"/><Relationship Id="rId14" Type="http://schemas.openxmlformats.org/officeDocument/2006/relationships/hyperlink" Target="https://abra-electronics.com/interconnects/connectors/usb/bb-usb-usb-2.0-female-breakout-board.html" TargetMode="External"/><Relationship Id="rId22" Type="http://schemas.openxmlformats.org/officeDocument/2006/relationships/hyperlink" Target="https://abra-electronics.com/wire-cable-accessories/wirecable/jumper-wire-assembly/single-row-2-54mm-0-1/jw-mm-20-6-jumper-wires-connected-6-m-m-20-pack-jw-mm-20-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zoomScale="85" zoomScaleNormal="85" workbookViewId="0">
      <selection activeCell="B12" sqref="B12"/>
    </sheetView>
  </sheetViews>
  <sheetFormatPr baseColWidth="10" defaultColWidth="9.109375" defaultRowHeight="14.4" x14ac:dyDescent="0.3"/>
  <cols>
    <col min="1" max="1" width="22.6640625" bestFit="1" customWidth="1"/>
    <col min="2" max="2" width="58.88671875" bestFit="1" customWidth="1"/>
    <col min="3" max="3" width="22" bestFit="1" customWidth="1"/>
    <col min="5" max="5" width="15.5546875" bestFit="1" customWidth="1"/>
    <col min="6" max="6" width="15.5546875" customWidth="1"/>
    <col min="7" max="7" width="30.33203125" customWidth="1"/>
    <col min="8" max="8" width="34.33203125" bestFit="1" customWidth="1"/>
    <col min="9" max="9" width="73.33203125" bestFit="1" customWidth="1"/>
  </cols>
  <sheetData>
    <row r="1" spans="1:9" x14ac:dyDescent="0.3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  <row r="3" spans="1:9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3">
      <c r="A4" t="s">
        <v>10</v>
      </c>
      <c r="B4" t="s">
        <v>11</v>
      </c>
      <c r="C4" t="s">
        <v>12</v>
      </c>
      <c r="D4">
        <v>1</v>
      </c>
      <c r="E4">
        <v>4.95</v>
      </c>
      <c r="F4" s="2">
        <f t="shared" ref="F4:F10" si="0">(D4*E4)*1.15</f>
        <v>5.6924999999999999</v>
      </c>
      <c r="G4" s="1" t="s">
        <v>13</v>
      </c>
      <c r="H4" s="4" t="s">
        <v>14</v>
      </c>
    </row>
    <row r="5" spans="1:9" x14ac:dyDescent="0.3">
      <c r="A5" t="s">
        <v>15</v>
      </c>
      <c r="B5" t="s">
        <v>16</v>
      </c>
      <c r="C5" t="s">
        <v>17</v>
      </c>
      <c r="D5">
        <v>1</v>
      </c>
      <c r="E5">
        <v>1.41</v>
      </c>
      <c r="F5" s="2">
        <f t="shared" si="0"/>
        <v>1.6214999999999997</v>
      </c>
      <c r="G5" s="1" t="s">
        <v>18</v>
      </c>
      <c r="H5" s="4" t="s">
        <v>14</v>
      </c>
    </row>
    <row r="6" spans="1:9" x14ac:dyDescent="0.3">
      <c r="A6" t="s">
        <v>15</v>
      </c>
      <c r="B6" t="s">
        <v>19</v>
      </c>
      <c r="C6" t="s">
        <v>17</v>
      </c>
      <c r="D6">
        <v>1</v>
      </c>
      <c r="E6">
        <v>1.41</v>
      </c>
      <c r="F6" s="2">
        <f t="shared" si="0"/>
        <v>1.6214999999999997</v>
      </c>
      <c r="G6" s="1" t="s">
        <v>18</v>
      </c>
      <c r="H6" s="4" t="s">
        <v>14</v>
      </c>
    </row>
    <row r="7" spans="1:9" x14ac:dyDescent="0.3">
      <c r="A7" t="s">
        <v>15</v>
      </c>
      <c r="B7" s="3" t="s">
        <v>20</v>
      </c>
      <c r="C7" t="s">
        <v>17</v>
      </c>
      <c r="D7">
        <v>1</v>
      </c>
      <c r="E7">
        <v>1.41</v>
      </c>
      <c r="F7" s="2">
        <f t="shared" si="0"/>
        <v>1.6214999999999997</v>
      </c>
      <c r="G7" s="1" t="s">
        <v>18</v>
      </c>
      <c r="H7" s="4" t="s">
        <v>14</v>
      </c>
    </row>
    <row r="8" spans="1:9" x14ac:dyDescent="0.3">
      <c r="A8" t="s">
        <v>21</v>
      </c>
      <c r="B8" t="s">
        <v>22</v>
      </c>
      <c r="C8" t="s">
        <v>17</v>
      </c>
      <c r="D8">
        <v>1</v>
      </c>
      <c r="E8">
        <v>2.95</v>
      </c>
      <c r="F8" s="2">
        <f t="shared" si="0"/>
        <v>3.3925000000000001</v>
      </c>
      <c r="G8" s="1" t="s">
        <v>13</v>
      </c>
      <c r="H8" s="4" t="s">
        <v>14</v>
      </c>
    </row>
    <row r="9" spans="1:9" x14ac:dyDescent="0.3">
      <c r="A9" t="s">
        <v>23</v>
      </c>
      <c r="B9" t="s">
        <v>24</v>
      </c>
      <c r="C9" t="s">
        <v>25</v>
      </c>
      <c r="D9">
        <v>1</v>
      </c>
      <c r="E9">
        <v>40.58</v>
      </c>
      <c r="F9" s="2">
        <f t="shared" si="0"/>
        <v>46.666999999999994</v>
      </c>
      <c r="G9" s="1" t="s">
        <v>26</v>
      </c>
      <c r="H9" s="4" t="s">
        <v>14</v>
      </c>
    </row>
    <row r="10" spans="1:9" x14ac:dyDescent="0.3">
      <c r="A10" t="s">
        <v>27</v>
      </c>
      <c r="B10" t="s">
        <v>28</v>
      </c>
      <c r="C10" t="s">
        <v>29</v>
      </c>
      <c r="D10">
        <v>1</v>
      </c>
      <c r="E10">
        <v>2.9</v>
      </c>
      <c r="F10" s="2">
        <f t="shared" si="0"/>
        <v>3.3349999999999995</v>
      </c>
      <c r="G10" s="1" t="s">
        <v>18</v>
      </c>
      <c r="H10" s="4" t="s">
        <v>30</v>
      </c>
    </row>
    <row r="11" spans="1:9" x14ac:dyDescent="0.3">
      <c r="A11" t="s">
        <v>31</v>
      </c>
      <c r="B11" t="s">
        <v>32</v>
      </c>
      <c r="C11" t="s">
        <v>33</v>
      </c>
      <c r="D11">
        <v>1</v>
      </c>
      <c r="F11" s="2">
        <v>186.71</v>
      </c>
      <c r="G11" s="1" t="s">
        <v>34</v>
      </c>
      <c r="H11" s="4" t="s">
        <v>14</v>
      </c>
      <c r="I11" t="s">
        <v>35</v>
      </c>
    </row>
    <row r="12" spans="1:9" x14ac:dyDescent="0.3">
      <c r="A12" t="s">
        <v>36</v>
      </c>
      <c r="B12" t="s">
        <v>37</v>
      </c>
      <c r="C12" t="s">
        <v>17</v>
      </c>
      <c r="D12">
        <v>1</v>
      </c>
      <c r="E12">
        <v>3.75</v>
      </c>
      <c r="F12" s="2">
        <f t="shared" ref="F12:F25" si="1">(D12*E12)*1.15</f>
        <v>4.3125</v>
      </c>
      <c r="G12" s="1" t="s">
        <v>18</v>
      </c>
      <c r="H12" s="4" t="s">
        <v>14</v>
      </c>
    </row>
    <row r="13" spans="1:9" x14ac:dyDescent="0.3">
      <c r="A13" t="s">
        <v>38</v>
      </c>
      <c r="B13" t="s">
        <v>39</v>
      </c>
      <c r="C13" t="s">
        <v>40</v>
      </c>
      <c r="D13">
        <v>1</v>
      </c>
      <c r="E13">
        <v>4.5999999999999996</v>
      </c>
      <c r="F13" s="2">
        <f t="shared" si="1"/>
        <v>5.2899999999999991</v>
      </c>
      <c r="G13" s="1" t="s">
        <v>13</v>
      </c>
      <c r="H13" s="4" t="s">
        <v>14</v>
      </c>
    </row>
    <row r="14" spans="1:9" x14ac:dyDescent="0.3">
      <c r="A14" t="s">
        <v>41</v>
      </c>
      <c r="B14" t="s">
        <v>42</v>
      </c>
      <c r="C14" t="s">
        <v>43</v>
      </c>
      <c r="D14">
        <v>1</v>
      </c>
      <c r="E14">
        <v>19.989999999999998</v>
      </c>
      <c r="F14" s="2">
        <f t="shared" si="1"/>
        <v>22.988499999999995</v>
      </c>
      <c r="G14" s="1" t="s">
        <v>13</v>
      </c>
      <c r="H14" s="4" t="s">
        <v>44</v>
      </c>
    </row>
    <row r="15" spans="1:9" x14ac:dyDescent="0.3">
      <c r="A15" t="s">
        <v>45</v>
      </c>
      <c r="B15" t="s">
        <v>46</v>
      </c>
      <c r="C15" t="s">
        <v>47</v>
      </c>
      <c r="D15">
        <v>2</v>
      </c>
      <c r="E15">
        <v>0.27</v>
      </c>
      <c r="F15" s="2">
        <f t="shared" si="1"/>
        <v>0.621</v>
      </c>
      <c r="G15" s="1" t="s">
        <v>13</v>
      </c>
      <c r="H15" s="4" t="s">
        <v>14</v>
      </c>
    </row>
    <row r="16" spans="1:9" x14ac:dyDescent="0.3">
      <c r="A16" t="s">
        <v>48</v>
      </c>
      <c r="B16" t="s">
        <v>49</v>
      </c>
      <c r="C16" t="s">
        <v>50</v>
      </c>
      <c r="D16">
        <v>1</v>
      </c>
      <c r="E16">
        <v>19.350000000000001</v>
      </c>
      <c r="F16" s="2">
        <f t="shared" si="1"/>
        <v>22.252500000000001</v>
      </c>
      <c r="G16" s="1" t="s">
        <v>18</v>
      </c>
      <c r="H16" s="4" t="s">
        <v>44</v>
      </c>
    </row>
    <row r="17" spans="1:9" x14ac:dyDescent="0.3">
      <c r="A17" t="s">
        <v>51</v>
      </c>
      <c r="B17" t="s">
        <v>52</v>
      </c>
      <c r="C17" t="s">
        <v>53</v>
      </c>
      <c r="D17">
        <v>1</v>
      </c>
      <c r="E17">
        <v>13.75</v>
      </c>
      <c r="F17" s="2">
        <f t="shared" si="1"/>
        <v>15.812499999999998</v>
      </c>
      <c r="G17" s="1" t="s">
        <v>54</v>
      </c>
      <c r="H17" s="4" t="s">
        <v>44</v>
      </c>
    </row>
    <row r="18" spans="1:9" x14ac:dyDescent="0.3">
      <c r="A18" t="s">
        <v>55</v>
      </c>
      <c r="B18" t="s">
        <v>56</v>
      </c>
      <c r="C18" t="s">
        <v>29</v>
      </c>
      <c r="D18">
        <v>1</v>
      </c>
      <c r="E18">
        <v>28.57</v>
      </c>
      <c r="F18" s="2">
        <f t="shared" si="1"/>
        <v>32.855499999999999</v>
      </c>
      <c r="G18" s="1" t="s">
        <v>57</v>
      </c>
      <c r="H18" s="4" t="s">
        <v>44</v>
      </c>
    </row>
    <row r="19" spans="1:9" x14ac:dyDescent="0.3">
      <c r="A19" t="s">
        <v>58</v>
      </c>
      <c r="B19" t="s">
        <v>59</v>
      </c>
      <c r="C19" t="s">
        <v>60</v>
      </c>
      <c r="D19">
        <v>1</v>
      </c>
      <c r="E19">
        <v>87.8</v>
      </c>
      <c r="F19" s="2">
        <f t="shared" si="1"/>
        <v>100.96999999999998</v>
      </c>
      <c r="G19" s="1" t="s">
        <v>18</v>
      </c>
      <c r="H19" s="4" t="s">
        <v>44</v>
      </c>
      <c r="I19" t="s">
        <v>61</v>
      </c>
    </row>
    <row r="20" spans="1:9" x14ac:dyDescent="0.3">
      <c r="A20" t="s">
        <v>62</v>
      </c>
      <c r="B20" t="s">
        <v>63</v>
      </c>
      <c r="C20" t="s">
        <v>47</v>
      </c>
      <c r="D20">
        <v>1</v>
      </c>
      <c r="E20">
        <v>1.53</v>
      </c>
      <c r="F20" s="2">
        <f t="shared" si="1"/>
        <v>1.7594999999999998</v>
      </c>
      <c r="G20" s="1" t="s">
        <v>13</v>
      </c>
      <c r="H20" s="4" t="s">
        <v>14</v>
      </c>
    </row>
    <row r="21" spans="1:9" x14ac:dyDescent="0.3">
      <c r="A21" t="s">
        <v>64</v>
      </c>
      <c r="B21" t="s">
        <v>65</v>
      </c>
      <c r="C21" t="s">
        <v>66</v>
      </c>
      <c r="D21">
        <v>1</v>
      </c>
      <c r="E21">
        <v>5.48</v>
      </c>
      <c r="F21" s="2">
        <f t="shared" si="1"/>
        <v>6.3019999999999996</v>
      </c>
      <c r="G21" s="1" t="s">
        <v>13</v>
      </c>
      <c r="H21" s="4" t="s">
        <v>30</v>
      </c>
    </row>
    <row r="22" spans="1:9" x14ac:dyDescent="0.3">
      <c r="A22" t="s">
        <v>67</v>
      </c>
      <c r="B22" t="s">
        <v>68</v>
      </c>
      <c r="C22" t="s">
        <v>17</v>
      </c>
      <c r="D22">
        <v>1</v>
      </c>
      <c r="E22">
        <v>2</v>
      </c>
      <c r="F22" s="2">
        <f t="shared" si="1"/>
        <v>2.2999999999999998</v>
      </c>
      <c r="G22" s="1" t="s">
        <v>13</v>
      </c>
      <c r="H22" s="4" t="s">
        <v>14</v>
      </c>
    </row>
    <row r="23" spans="1:9" x14ac:dyDescent="0.3">
      <c r="A23" t="s">
        <v>69</v>
      </c>
      <c r="B23" t="s">
        <v>70</v>
      </c>
      <c r="C23" t="s">
        <v>71</v>
      </c>
      <c r="D23">
        <v>1</v>
      </c>
      <c r="E23">
        <v>5.27</v>
      </c>
      <c r="F23" s="2">
        <f t="shared" si="1"/>
        <v>6.0604999999999993</v>
      </c>
      <c r="G23" s="1" t="s">
        <v>13</v>
      </c>
      <c r="H23" s="5"/>
    </row>
    <row r="24" spans="1:9" x14ac:dyDescent="0.3">
      <c r="A24" t="s">
        <v>72</v>
      </c>
      <c r="B24" t="s">
        <v>72</v>
      </c>
      <c r="C24" t="s">
        <v>73</v>
      </c>
      <c r="D24">
        <v>1</v>
      </c>
      <c r="E24">
        <v>5.3</v>
      </c>
      <c r="F24" s="2">
        <f t="shared" si="1"/>
        <v>6.0949999999999998</v>
      </c>
      <c r="G24" s="1" t="s">
        <v>74</v>
      </c>
      <c r="H24" s="4" t="s">
        <v>44</v>
      </c>
      <c r="I24" t="s">
        <v>75</v>
      </c>
    </row>
    <row r="25" spans="1:9" x14ac:dyDescent="0.3">
      <c r="A25" t="s">
        <v>76</v>
      </c>
      <c r="B25" t="s">
        <v>77</v>
      </c>
      <c r="C25" t="s">
        <v>78</v>
      </c>
      <c r="D25">
        <v>1</v>
      </c>
      <c r="E25">
        <f>0.18+6.71</f>
        <v>6.89</v>
      </c>
      <c r="F25" s="2">
        <f t="shared" si="1"/>
        <v>7.9234999999999989</v>
      </c>
      <c r="G25" s="1" t="s">
        <v>79</v>
      </c>
      <c r="H25" s="4" t="s">
        <v>30</v>
      </c>
    </row>
    <row r="26" spans="1:9" x14ac:dyDescent="0.3">
      <c r="A26" t="s">
        <v>80</v>
      </c>
      <c r="F26" s="2">
        <f>SUBTOTAL(109,Tableau1[Coût total])</f>
        <v>486.2045</v>
      </c>
    </row>
    <row r="28" spans="1:9" x14ac:dyDescent="0.3">
      <c r="A28" s="7" t="s">
        <v>81</v>
      </c>
      <c r="B28" s="7"/>
    </row>
    <row r="29" spans="1:9" x14ac:dyDescent="0.3">
      <c r="A29" s="7"/>
      <c r="B29" s="7"/>
    </row>
    <row r="30" spans="1:9" x14ac:dyDescent="0.3">
      <c r="A30" s="7"/>
      <c r="B30" s="7"/>
    </row>
  </sheetData>
  <mergeCells count="4">
    <mergeCell ref="A1:I2"/>
    <mergeCell ref="A28:B28"/>
    <mergeCell ref="A29:B29"/>
    <mergeCell ref="A30:B30"/>
  </mergeCells>
  <hyperlinks>
    <hyperlink ref="G11" r:id="rId1" xr:uid="{5867756C-D6FA-439A-B6E4-C5C3A0E67BCD}"/>
    <hyperlink ref="G19" r:id="rId2" xr:uid="{E2206810-0068-483B-AE1C-FC210935886C}"/>
    <hyperlink ref="G10" r:id="rId3" xr:uid="{6C4B3049-5F38-43FC-9AFA-4C5D7F97000E}"/>
    <hyperlink ref="G9" r:id="rId4" xr:uid="{074CF006-DA2D-40D4-9E51-187A88185831}"/>
    <hyperlink ref="G18" r:id="rId5" xr:uid="{E8917B9B-34A1-457B-97F4-84BFB240165E}"/>
    <hyperlink ref="G12" r:id="rId6" xr:uid="{E1F12D0C-A869-4CF2-BED4-DC4341DB8C85}"/>
    <hyperlink ref="G5" r:id="rId7" xr:uid="{678C53CA-4C3F-4260-A866-CF5F15035DE6}"/>
    <hyperlink ref="G6" r:id="rId8" xr:uid="{13786348-7400-4B40-AF26-9FB1677A9616}"/>
    <hyperlink ref="G7" r:id="rId9" xr:uid="{A10A8C40-B611-4555-9CDE-08EC8994ADF2}"/>
    <hyperlink ref="G14" r:id="rId10" xr:uid="{1C0209F5-DD63-4212-9C26-B0534295EFE1}"/>
    <hyperlink ref="G16" r:id="rId11" xr:uid="{318A1385-DFB7-47FD-8FB4-362F4FF484BA}"/>
    <hyperlink ref="G4" r:id="rId12" xr:uid="{6A5D78D9-9A6F-4A64-90DA-373B6B1DED09}"/>
    <hyperlink ref="G8" r:id="rId13" xr:uid="{99BB36B4-46AA-4024-A793-A907AA2C1B14}"/>
    <hyperlink ref="G22" r:id="rId14" xr:uid="{44137562-FE29-4AAE-A2A3-DF9253387BF7}"/>
    <hyperlink ref="G13" r:id="rId15" xr:uid="{4BE83A74-C1BC-403F-BF7E-7C113A7C5E34}"/>
    <hyperlink ref="G20" r:id="rId16" xr:uid="{7ED9F14C-50F7-4380-8D66-C4ED5C4F1695}"/>
    <hyperlink ref="G15" r:id="rId17" xr:uid="{3B8656A2-03DA-4696-9566-6C67FC55BDC8}"/>
    <hyperlink ref="G17" r:id="rId18" xr:uid="{CAA5E047-8A13-4CD3-895B-7D8B463D57F1}"/>
    <hyperlink ref="G21" r:id="rId19" xr:uid="{584C25FD-59B6-4807-8867-A9D221401E5A}"/>
    <hyperlink ref="G25" r:id="rId20" xr:uid="{04EAC67D-0D62-4D1C-A375-7BF4F8718488}"/>
    <hyperlink ref="G24" r:id="rId21" xr:uid="{437301F9-227A-447F-AD84-ABCDA59B924E}"/>
    <hyperlink ref="G23" r:id="rId22" xr:uid="{F351150A-ED0D-4148-922D-8E9AFB07AE16}"/>
  </hyperlinks>
  <pageMargins left="0.7" right="0.7" top="0.75" bottom="0.75" header="0.3" footer="0.3"/>
  <pageSetup orientation="portrait" horizontalDpi="0" verticalDpi="0" r:id="rId23"/>
  <tableParts count="1">
    <tablePart r:id="rId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Leung</dc:creator>
  <cp:keywords/>
  <dc:description/>
  <cp:lastModifiedBy>Leung, Ryan</cp:lastModifiedBy>
  <cp:revision/>
  <dcterms:created xsi:type="dcterms:W3CDTF">2015-06-05T18:19:34Z</dcterms:created>
  <dcterms:modified xsi:type="dcterms:W3CDTF">2026-08-09T18:22:14Z</dcterms:modified>
  <cp:category/>
  <cp:contentStatus/>
</cp:coreProperties>
</file>